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8db2a3ba2594e92" /></Relationships>
</file>

<file path=xl/workbook.xml><?xml version="1.0" encoding="utf-8"?>
<x:workbook xmlns:x="http://schemas.openxmlformats.org/spreadsheetml/2006/main">
  <x:sheets>
    <x:sheet xmlns:r="http://schemas.openxmlformats.org/officeDocument/2006/relationships" name="Dashboard" sheetId="1" r:id="Rb17c64072d044f86"/>
    <x:sheet xmlns:r="http://schemas.openxmlformats.org/officeDocument/2006/relationships" name="Findings" sheetId="2" r:id="R3f3fef7582264b15"/>
    <x:sheet xmlns:r="http://schemas.openxmlformats.org/officeDocument/2006/relationships" name="Interview Notes" sheetId="3" r:id="Rb49e0f1c38164a6e"/>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
    <x:numFmt numFmtId="201" formatCode="yyyy-mm-dd"/>
    <x:numFmt numFmtId="202" formatCode="0"/>
  </x:numFmts>
  <x:fonts count="5">
    <x:font>
      <x:sz val="11"/>
      <x:name val="Carlito"/>
    </x:font>
    <x:font>
      <x:b/>
      <x:sz val="11"/>
      <x:color rgb="FFFFFFFF"/>
      <x:name val="Carlito"/>
    </x:font>
    <x:font>
      <x:b/>
      <x:sz val="16"/>
      <x:color rgb="FFFFFFFF"/>
      <x:name val="Carlito"/>
    </x:font>
    <x:font>
      <x:b/>
      <x:sz val="11"/>
      <x:name val="Carlito"/>
    </x:font>
    <x:font>
      <x:b/>
      <x:sz val="15"/>
      <x:color rgb="FFFFFFFF"/>
      <x:name val="Carlito"/>
    </x:font>
  </x:fonts>
  <x:fills count="5">
    <x:fill>
      <x:patternFill patternType="none"/>
    </x:fill>
    <x:fill>
      <x:patternFill patternType="gray125"/>
    </x:fill>
    <x:fill>
      <x:patternFill patternType="solid">
        <x:fgColor rgb="FF1F4E78"/>
      </x:patternFill>
    </x:fill>
    <x:fill>
      <x:patternFill patternType="solid">
        <x:fgColor rgb="FF17365D"/>
      </x:patternFill>
    </x:fill>
    <x:fill>
      <x:patternFill patternType="solid">
        <x:fgColor rgb="FFD9EAF7"/>
      </x:patternFill>
    </x:fill>
  </x:fills>
  <x:borders count="2">
    <x:border/>
    <x:border/>
  </x:borders>
  <x:cellStyleXfs count="1">
    <x:xf numFmtId="0" fontId="0" fillId="0" borderId="0"/>
  </x:cellStyleXfs>
  <x:cellXfs count="4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201" fontId="0" fillId="0" borderId="0" xfId="0" applyNumberFormat="1" applyFont="1" applyFill="1" applyBorder="1" applyAlignment="1">
      <x:alignment wrapText="1"/>
    </x:xf>
    <x:xf numFmtId="201" fontId="0" fillId="0" borderId="1" xfId="0" applyNumberFormat="1" applyFont="1" applyFill="1" applyBorder="1" applyAlignment="1">
      <x:alignment wrapText="1"/>
    </x:xf>
    <x:xf numFmtId="202" fontId="0" fillId="0" borderId="0" xfId="0" applyNumberFormat="1" applyFont="1" applyFill="1" applyBorder="1" applyAlignment="1">
      <x:alignment wrapText="1"/>
    </x:xf>
    <x:xf numFmtId="202" fontId="0" fillId="0" borderId="1" xfId="0" applyNumberFormat="1" applyFont="1" applyFill="1" applyBorder="1" applyAlignment="1">
      <x:alignment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2" fillId="3" borderId="0" xfId="0" applyNumberFormat="1" applyFont="1" applyFill="1" applyBorder="1" applyAlignment="1">
      <x:alignment horizontal="center"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center"/>
    </x:xf>
    <x:xf numFmtId="0" fontId="2" fillId="3" borderId="1" xfId="0" applyNumberFormat="1" applyFont="1" applyFill="1" applyBorder="1" applyAlignment="1">
      <x:alignment horizontal="center" vertical="center"/>
    </x:xf>
    <x:xf numFmtId="201" fontId="0" fillId="0" borderId="0" xfId="0" applyNumberFormat="1" applyFont="1" applyFill="1" applyBorder="1"/>
    <x:xf numFmtId="201" fontId="0" fillId="0" borderId="1" xfId="0" applyNumberFormat="1" applyFont="1" applyFill="1" applyBorder="1"/>
    <x:xf numFmtId="0" fontId="0" fillId="4" borderId="0" xfId="0" applyNumberFormat="1" applyFont="1" applyFill="1" applyBorder="1"/>
    <x:xf numFmtId="201" fontId="0" fillId="4" borderId="0" xfId="0" applyNumberFormat="1" applyFont="1" applyFill="1" applyBorder="1"/>
    <x:xf numFmtId="0" fontId="3" fillId="4" borderId="0" xfId="0" applyNumberFormat="1" applyFont="1" applyFill="1" applyBorder="1"/>
    <x:xf numFmtId="201" fontId="3" fillId="4" borderId="0" xfId="0" applyNumberFormat="1" applyFont="1" applyFill="1" applyBorder="1"/>
    <x:xf numFmtId="0" fontId="0" fillId="4" borderId="1" xfId="0" applyNumberFormat="1" applyFont="1" applyFill="1" applyBorder="1"/>
    <x:xf numFmtId="201" fontId="0" fillId="4" borderId="1" xfId="0" applyNumberFormat="1" applyFont="1" applyFill="1" applyBorder="1"/>
    <x:xf numFmtId="0" fontId="3" fillId="4" borderId="1" xfId="0" applyNumberFormat="1" applyFont="1" applyFill="1" applyBorder="1"/>
    <x:xf numFmtId="201" fontId="3" fillId="4" borderId="1" xfId="0" applyNumberFormat="1" applyFont="1" applyFill="1" applyBorder="1"/>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4" fillId="3" borderId="0" xfId="0" applyNumberFormat="1" applyFont="1" applyFill="1" applyBorder="1"/>
    <x:xf numFmtId="0" fontId="4" fillId="3" borderId="0" xfId="0" applyNumberFormat="1" applyFont="1" applyFill="1" applyBorder="1" applyAlignment="1">
      <x:alignment horizontal="center"/>
    </x:xf>
    <x:xf numFmtId="0" fontId="4" fillId="3" borderId="1" xfId="0" applyNumberFormat="1" applyFont="1" applyFill="1" applyBorder="1"/>
    <x:xf numFmtId="0" fontId="4" fillId="3" borderId="1" xfId="0" applyNumberFormat="1" applyFont="1" applyFill="1" applyBorder="1" applyAlignment="1">
      <x:alignment horizontal="center"/>
    </x:xf>
  </x:cellXfs>
  <x:cellStyles count="1">
    <x:cellStyle name="Normal" xfId="0"/>
  </x:cellStyles>
  <x:dxfs count="4">
    <x:dxf>
      <x:font>
        <x:b/>
        <x:color rgb="FF991B1B"/>
      </x:font>
      <x:fill>
        <x:patternFill patternType="solid">
          <x:bgColor rgb="FFFECACA"/>
        </x:patternFill>
      </x:fill>
    </x:dxf>
    <x:dxf>
      <x:font>
        <x:b/>
        <x:color rgb="FF9A3412"/>
      </x:font>
      <x:fill>
        <x:patternFill patternType="solid">
          <x:bgColor rgb="FFFED7AA"/>
        </x:patternFill>
      </x:fill>
    </x:dxf>
    <x:dxf>
      <x:font>
        <x:b/>
        <x:color rgb="FF92400E"/>
      </x:font>
      <x:fill>
        <x:patternFill patternType="solid">
          <x:bgColor rgb="FFFEF3C7"/>
        </x:patternFill>
      </x:fill>
    </x:dxf>
    <x:dxf>
      <x:font>
        <x:b/>
        <x:color rgb="FF166534"/>
      </x:font>
      <x:fill>
        <x:patternFill patternType="solid">
          <x:bgColor rgb="FFDCFCE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1bbd921fc13477a" /><Relationship Type="http://schemas.openxmlformats.org/officeDocument/2006/relationships/theme" Target="/xl/theme/theme1.xml" Id="Rac4ec8563b784cae" /><Relationship Type="http://schemas.openxmlformats.org/officeDocument/2006/relationships/sharedStrings" Target="/xl/sharedStrings.xml" Id="R9fb2d25f1cd94766" /><Relationship Type="http://schemas.openxmlformats.org/officeDocument/2006/relationships/worksheet" Target="/xl/worksheets/sheet1.xml" Id="Rb17c64072d044f86" /><Relationship Type="http://schemas.openxmlformats.org/officeDocument/2006/relationships/worksheet" Target="/xl/worksheets/sheet2.xml" Id="R3f3fef7582264b15" /><Relationship Type="http://schemas.openxmlformats.org/officeDocument/2006/relationships/worksheet" Target="/xl/worksheets/sheet3.xml" Id="Rb49e0f1c38164a6e" /></Relationships>
</file>

<file path=xl/drawings/_rels/drawing1.xml.rels>&#65279;<?xml version="1.0" encoding="utf-8"?><Relationships xmlns="http://schemas.openxmlformats.org/package/2006/relationships"><Relationship Type="http://schemas.openxmlformats.org/officeDocument/2006/relationships/chart" Target="/xl/drawings/charts/chart1.xml" Id="R4d281c1f04df4972"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Findings by Priority</a:t>
            </a:r>
          </a:p>
        </c:rich>
      </c:tx>
      <c:overlay val="0"/>
    </c:title>
    <c:autoTitleDeleted val="0"/>
    <c:plotArea>
      <c:layout/>
      <c:barChart>
        <c:barDir val="col"/>
        <c:varyColors val="0"/>
        <c:ser>
          <c:idx val="0"/>
          <c:order val="0"/>
          <c:tx>
            <c:v>Count</c:v>
          </c:tx>
          <c:cat>
            <c:strRef>
              <c:f>'Dashboard'!$D$6:$D$9</c:f>
              <c:strCache>
                <c:ptCount val="0"/>
              </c:strCache>
            </c:strRef>
          </c:cat>
          <c:val>
            <c:numRef>
              <c:f>'Dashboard'!$E$6:$E$9</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11</xdr:row>
      <xdr:rowOff>0</xdr:rowOff>
    </xdr:from>
    <xdr:to>
      <xdr:col>8</xdr:col>
      <xdr:colOff>0</xdr:colOff>
      <xdr:row>25</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d281c1f04df4972"/>
        </a:graphicData>
      </a:graphic>
    </xdr:graphicFrame>
    <xdr:clientData/>
  </xdr:twoCellAnchor>
</xdr:wsDr>
</file>

<file path=xl/tables/table1.xml><?xml version="1.0" encoding="utf-8"?>
<x:table xmlns:x="http://schemas.openxmlformats.org/spreadsheetml/2006/main" id="1" name="VulnerabilityFindings" displayName="VulnerabilityFindings" ref="A1:S11" headerRowCount="1">
  <x:tableColumns count="19">
    <x:tableColumn id="1" name="Finding ID"/>
    <x:tableColumn id="2" name="Asset"/>
    <x:tableColumn id="3" name="Asset Criticality"/>
    <x:tableColumn id="4" name="Vulnerability"/>
    <x:tableColumn id="5" name="CVSS v4.0"/>
    <x:tableColumn id="6" name="Severity"/>
    <x:tableColumn id="7" name="Internet Exposed"/>
    <x:tableColumn id="8" name="Exploit Evidence"/>
    <x:tableColumn id="9" name="Patch Available"/>
    <x:tableColumn id="10" name="Age (Days)"/>
    <x:tableColumn id="11" name="Business Impact"/>
    <x:tableColumn id="12" name="Recommended Action"/>
    <x:tableColumn id="13" name="Owner"/>
    <x:tableColumn id="14" name="SLA (Days)"/>
    <x:tableColumn id="15" name="Due Date"/>
    <x:tableColumn id="16" name="Status"/>
    <x:tableColumn id="17" name="Risk Score"/>
    <x:tableColumn id="18" name="Priority"/>
    <x:tableColumn id="19" name="Source / Not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b51c78634bf84568" /></Relationships>
</file>

<file path=xl/worksheets/_rels/sheet2.xml.rels>&#65279;<?xml version="1.0" encoding="utf-8"?><Relationships xmlns="http://schemas.openxmlformats.org/package/2006/relationships"><Relationship Type="http://schemas.openxmlformats.org/officeDocument/2006/relationships/table" Target="/xl/tables/table1.xml" Id="R84397a27038041cc" /></Relationships>
</file>

<file path=xl/worksheets/sheet1.xml><?xml version="1.0" encoding="utf-8"?>
<x:worksheet xmlns:x="http://schemas.openxmlformats.org/spreadsheetml/2006/main">
  <x:sheetFormatPr defaultRowHeight="15"/>
  <x:cols>
    <x:col min="1" max="1" width="22" hidden="0" customWidth="1"/>
    <x:col min="2" max="2" width="28" hidden="0" customWidth="1"/>
    <x:col min="3" max="3" width="16" hidden="0" customWidth="1"/>
    <x:col min="4" max="4" width="18" hidden="0" customWidth="1"/>
    <x:col min="5" max="5" width="12" hidden="0" customWidth="1"/>
    <x:col min="6" max="6" width="16" hidden="0" customWidth="1"/>
    <x:col min="7" max="7" width="16" hidden="0" customWidth="1"/>
    <x:col min="8" max="8" width="16" hidden="0" customWidth="1"/>
  </x:cols>
  <x:sheetData>
    <x:row r="1" ht="30" customHeight="1">
      <x:c r="A1" s="23" t="str">
        <x:v>Lab 05 — Vulnerability Management Dashboard</x:v>
      </x:c>
      <x:c r="B1" s="23"/>
      <x:c r="C1" s="23"/>
      <x:c r="D1" s="23"/>
      <x:c r="E1" s="23"/>
      <x:c r="F1" s="23"/>
      <x:c r="G1" s="23"/>
      <x:c r="H1" s="23"/>
    </x:row>
    <x:row r="3">
      <x:c r="A3" s="32" t="str">
        <x:v>Scan Date</x:v>
      </x:c>
      <x:c r="B3" s="33" t="n">
        <x:v>46219</x:v>
      </x:c>
    </x:row>
    <x:row r="5">
      <x:c r="A5" s="6" t="str">
        <x:v>Metric</x:v>
      </x:c>
      <x:c r="B5" s="6" t="str">
        <x:v>Value</x:v>
      </x:c>
      <x:c r="D5" s="6" t="str">
        <x:v>Priority</x:v>
      </x:c>
      <x:c r="E5" s="6" t="str">
        <x:v>Count</x:v>
      </x:c>
    </x:row>
    <x:row r="6">
      <x:c r="A6" t="str">
        <x:v>Total Findings</x:v>
      </x:c>
      <x:c r="B6" t="n">
        <x:f>COUNTA(Findings!A2:A11)</x:f>
        <x:v>10</x:v>
      </x:c>
      <x:c r="D6" t="str">
        <x:v>P1 - Critical</x:v>
      </x:c>
      <x:c r="E6" t="n">
        <x:f>COUNTIF(Findings!R2:R11,D6)</x:f>
        <x:v>3</x:v>
      </x:c>
    </x:row>
    <x:row r="7">
      <x:c r="A7" t="str">
        <x:v>P1 - Critical</x:v>
      </x:c>
      <x:c r="B7" t="n">
        <x:f>COUNTIF(Findings!R2:R11,"P1 - Critical")</x:f>
        <x:v>3</x:v>
      </x:c>
      <x:c r="D7" t="str">
        <x:v>P2 - High</x:v>
      </x:c>
      <x:c r="E7" t="n">
        <x:f>COUNTIF(Findings!R2:R11,D7)</x:f>
        <x:v>2</x:v>
      </x:c>
    </x:row>
    <x:row r="8">
      <x:c r="A8" t="str">
        <x:v>P2 - High</x:v>
      </x:c>
      <x:c r="B8" t="n">
        <x:f>COUNTIF(Findings!R2:R11,"P2 - High")</x:f>
        <x:v>2</x:v>
      </x:c>
      <x:c r="D8" t="str">
        <x:v>P3 - Medium</x:v>
      </x:c>
      <x:c r="E8" t="n">
        <x:f>COUNTIF(Findings!R2:R11,D8)</x:f>
        <x:v>4</x:v>
      </x:c>
    </x:row>
    <x:row r="9">
      <x:c r="A9" t="str">
        <x:v>Internet Exposed</x:v>
      </x:c>
      <x:c r="B9" t="n">
        <x:f>COUNTIF(Findings!G2:G11,"Yes")</x:f>
        <x:v>4</x:v>
      </x:c>
      <x:c r="D9" t="str">
        <x:v>P4 - Low</x:v>
      </x:c>
      <x:c r="E9" t="n">
        <x:f>COUNTIF(Findings!R2:R11,D9)</x:f>
        <x:v>1</x:v>
      </x:c>
    </x:row>
    <x:row r="10">
      <x:c r="A10" t="str">
        <x:v>Exploit Evidence</x:v>
      </x:c>
      <x:c r="B10" t="n">
        <x:f>COUNTIF(Findings!H2:H11,"Yes")</x:f>
        <x:v>2</x:v>
      </x:c>
      <x:c r="D10" t="str">
        <x:v>Remediated</x:v>
      </x:c>
      <x:c r="E10" t="n">
        <x:f>COUNTIF(Findings!P2:P11,"Remediated")</x:f>
        <x:v>0</x:v>
      </x:c>
    </x:row>
    <x:row r="12">
      <x:c r="A12" s="6" t="str">
        <x:v>How prioritization works in this lab</x:v>
      </x:c>
      <x:c r="B12" s="6"/>
      <x:c r="C12" s="6"/>
      <x:c r="D12" s="6"/>
      <x:c r="E12" s="6"/>
      <x:c r="F12" s="6"/>
      <x:c r="G12" s="6"/>
      <x:c r="H12" s="6"/>
    </x:row>
    <x:row r="13">
      <x:c r="A13" s="38" t="str">
        <x:v>The Risk Score is a lab-specific composite score, not an official CVSS score. It starts with CVSS severity, then adds context for asset criticality, internet exposure, evidence of exploitation, and vulnerability age. This demonstrates why vulnerability management prioritization should consider business and threat context—not CVSS alone.</x:v>
      </x:c>
      <x:c r="B13" s="38"/>
      <x:c r="C13" s="38"/>
      <x:c r="D13" s="38"/>
      <x:c r="E13" s="38"/>
      <x:c r="F13" s="38"/>
      <x:c r="G13" s="38"/>
      <x:c r="H13" s="38"/>
    </x:row>
    <x:row r="14">
      <x:c r="A14" s="38"/>
      <x:c r="B14" s="38"/>
      <x:c r="C14" s="38"/>
      <x:c r="D14" s="38"/>
      <x:c r="E14" s="38"/>
      <x:c r="F14" s="38"/>
      <x:c r="G14" s="38"/>
      <x:c r="H14" s="38"/>
    </x:row>
    <x:row r="15">
      <x:c r="A15" s="38"/>
      <x:c r="B15" s="38"/>
      <x:c r="C15" s="38"/>
      <x:c r="D15" s="38"/>
      <x:c r="E15" s="38"/>
      <x:c r="F15" s="38"/>
      <x:c r="G15" s="38"/>
      <x:c r="H15" s="38"/>
    </x:row>
    <x:row r="16">
      <x:c r="A16" s="38"/>
      <x:c r="B16" s="38"/>
      <x:c r="C16" s="38"/>
      <x:c r="D16" s="38"/>
      <x:c r="E16" s="38"/>
      <x:c r="F16" s="38"/>
      <x:c r="G16" s="38"/>
      <x:c r="H16" s="38"/>
    </x:row>
    <x:row r="17">
      <x:c r="A17" s="38"/>
      <x:c r="B17" s="38"/>
      <x:c r="C17" s="38"/>
      <x:c r="D17" s="38"/>
      <x:c r="E17" s="38"/>
      <x:c r="F17" s="38"/>
      <x:c r="G17" s="38"/>
      <x:c r="H17" s="38"/>
    </x:row>
    <x:row r="19">
      <x:c r="A19" s="6" t="str">
        <x:v>Authoritative references</x:v>
      </x:c>
      <x:c r="B19" s="6"/>
      <x:c r="C19" s="6"/>
      <x:c r="D19" s="6"/>
      <x:c r="E19" s="6"/>
      <x:c r="F19" s="6"/>
      <x:c r="G19" s="6"/>
      <x:c r="H19" s="6"/>
    </x:row>
    <x:row r="20">
      <x:c r="A20" s="12" t="str">
        <x:v>CVSS v4.0</x:v>
      </x:c>
      <x:c r="B20" s="12" t="str">
        <x:v>https://www.first.org/cvss/v4.0/</x:v>
      </x:c>
      <x:c r="C20"/>
      <x:c r="D20"/>
      <x:c r="E20"/>
      <x:c r="F20"/>
      <x:c r="G20"/>
      <x:c r="H20"/>
    </x:row>
    <x:row r="21">
      <x:c r="A21" s="12" t="str">
        <x:v>CISA KEV Catalog</x:v>
      </x:c>
      <x:c r="B21" s="12" t="str">
        <x:v>https://www.cisa.gov/known-exploited-vulnerabilities-catalog</x:v>
      </x:c>
      <x:c r="C21"/>
      <x:c r="D21"/>
      <x:c r="E21"/>
      <x:c r="F21"/>
      <x:c r="G21"/>
      <x:c r="H21"/>
    </x:row>
    <x:row r="22">
      <x:c r="A22" s="12" t="str">
        <x:v>NIST SP 800-40 Rev. 4</x:v>
      </x:c>
      <x:c r="B22" s="12" t="str">
        <x:v>https://csrc.nist.gov/pubs/sp/800/40/r4/final</x:v>
      </x:c>
      <x:c r="C22"/>
      <x:c r="D22"/>
      <x:c r="E22"/>
      <x:c r="F22"/>
      <x:c r="G22"/>
      <x:c r="H22"/>
    </x:row>
    <x:row r="23">
      <x:c r="A23" s="12" t="str">
        <x:v>Note</x:v>
      </x:c>
      <x:c r="B23" s="12" t="str">
        <x:v>All vulnerability records in this workbook are simulated for portfolio training.</x:v>
      </x:c>
      <x:c r="C23"/>
      <x:c r="D23"/>
      <x:c r="E23"/>
      <x:c r="F23"/>
      <x:c r="G23"/>
      <x:c r="H23"/>
    </x:row>
  </x:sheetData>
  <x:mergeCells>
    <x:mergeCell ref="A1:H1"/>
    <x:mergeCell ref="A12:H12"/>
    <x:mergeCell ref="A13:H17"/>
    <x:mergeCell ref="A19:H19"/>
  </x:mergeCells>
  <x:pageMargins left="0.7" right="0.7" top="0.75" bottom="0.75" header="0.3" footer="0.3"/>
  <x:drawing xmlns:r="http://schemas.openxmlformats.org/officeDocument/2006/relationships" r:id="Rb51c78634bf84568"/>
</x:worksheet>
</file>

<file path=xl/worksheets/sheet2.xml><?xml version="1.0" encoding="utf-8"?>
<x:worksheet xmlns:x="http://schemas.openxmlformats.org/spreadsheetml/2006/main">
  <x:sheetFormatPr defaultRowHeight="15"/>
  <x:cols>
    <x:col min="1" max="1" width="12" hidden="0" customWidth="1"/>
    <x:col min="2" max="2" width="17" hidden="0" customWidth="1"/>
    <x:col min="3" max="3" width="15" hidden="0" customWidth="1"/>
    <x:col min="4" max="4" width="34" hidden="0" customWidth="1"/>
    <x:col min="5" max="5" width="10" hidden="0" customWidth="1"/>
    <x:col min="6" max="6" width="11" hidden="0" customWidth="1"/>
    <x:col min="7" max="7" width="14" hidden="0" customWidth="1"/>
    <x:col min="8" max="8" width="15" hidden="0" customWidth="1"/>
    <x:col min="9" max="9" width="14" hidden="0" customWidth="1"/>
    <x:col min="10" max="10" width="11" hidden="0" customWidth="1"/>
    <x:col min="11" max="11" width="38" hidden="0" customWidth="1"/>
    <x:col min="12" max="12" width="42" hidden="0" customWidth="1"/>
    <x:col min="13" max="13" width="18" hidden="0" customWidth="1"/>
    <x:col min="14" max="14" width="11" hidden="0" customWidth="1"/>
    <x:col min="15" max="15" width="13" hidden="0" customWidth="1"/>
    <x:col min="16" max="16" width="15" hidden="0" customWidth="1"/>
    <x:col min="17" max="17" width="11" hidden="0" customWidth="1"/>
    <x:col min="18" max="18" width="15" hidden="0" customWidth="1"/>
    <x:col min="19" max="19" width="30" hidden="0" customWidth="1"/>
  </x:cols>
  <x:sheetData>
    <x:row r="1" ht="34" customHeight="1">
      <x:c r="A1" s="6" t="str">
        <x:v>Finding ID</x:v>
      </x:c>
      <x:c r="B1" s="6" t="str">
        <x:v>Asset</x:v>
      </x:c>
      <x:c r="C1" s="6" t="str">
        <x:v>Asset Criticality</x:v>
      </x:c>
      <x:c r="D1" s="6" t="str">
        <x:v>Vulnerability</x:v>
      </x:c>
      <x:c r="E1" s="6" t="str">
        <x:v>CVSS v4.0</x:v>
      </x:c>
      <x:c r="F1" s="6" t="str">
        <x:v>Severity</x:v>
      </x:c>
      <x:c r="G1" s="6" t="str">
        <x:v>Internet Exposed</x:v>
      </x:c>
      <x:c r="H1" s="6" t="str">
        <x:v>Exploit Evidence</x:v>
      </x:c>
      <x:c r="I1" s="6" t="str">
        <x:v>Patch Available</x:v>
      </x:c>
      <x:c r="J1" s="6" t="str">
        <x:v>Age (Days)</x:v>
      </x:c>
      <x:c r="K1" s="6" t="str">
        <x:v>Business Impact</x:v>
      </x:c>
      <x:c r="L1" s="6" t="str">
        <x:v>Recommended Action</x:v>
      </x:c>
      <x:c r="M1" s="6" t="str">
        <x:v>Owner</x:v>
      </x:c>
      <x:c r="N1" s="6" t="str">
        <x:v>SLA (Days)</x:v>
      </x:c>
      <x:c r="O1" s="6" t="str">
        <x:v>Due Date</x:v>
      </x:c>
      <x:c r="P1" s="6" t="str">
        <x:v>Status</x:v>
      </x:c>
      <x:c r="Q1" s="6" t="str">
        <x:v>Risk Score</x:v>
      </x:c>
      <x:c r="R1" s="6" t="str">
        <x:v>Priority</x:v>
      </x:c>
      <x:c r="S1" s="6" t="str">
        <x:v>Source / Notes</x:v>
      </x:c>
    </x:row>
    <x:row r="2">
      <x:c r="A2" s="12" t="str">
        <x:v>SIM-001</x:v>
      </x:c>
      <x:c r="B2" s="12" t="str">
        <x:v>WEB-PROD-01</x:v>
      </x:c>
      <x:c r="C2" s="12" t="str">
        <x:v>High</x:v>
      </x:c>
      <x:c r="D2" s="12" t="str">
        <x:v>Remote code execution in public web application</x:v>
      </x:c>
      <x:c r="E2" s="14" t="n">
        <x:v>9.8</x:v>
      </x:c>
      <x:c r="F2" s="12" t="str">
        <x:v>Critical</x:v>
      </x:c>
      <x:c r="G2" s="12" t="str">
        <x:v>Yes</x:v>
      </x:c>
      <x:c r="H2" s="12" t="str">
        <x:v>Yes</x:v>
      </x:c>
      <x:c r="I2" s="12" t="str">
        <x:v>Yes</x:v>
      </x:c>
      <x:c r="J2" s="12" t="n">
        <x:v>45</x:v>
      </x:c>
      <x:c r="K2" s="12" t="str">
        <x:v>Could allow complete compromise of the public production server and customer-facing service.</x:v>
      </x:c>
      <x:c r="L2" s="12" t="str">
        <x:v>Apply vendor patch immediately, isolate if patching is delayed, and review web logs for exploitation.</x:v>
      </x:c>
      <x:c r="M2" s="12" t="str">
        <x:v>Web Operations</x:v>
      </x:c>
      <x:c r="N2" s="12" t="n">
        <x:f>IF(R2="P1 - Critical",7,IF(R2="P2 - High",14,IF(R2="P3 - Medium",30,60)))</x:f>
        <x:v>7</x:v>
      </x:c>
      <x:c r="O2" s="16" t="n">
        <x:f>Dashboard!$B$3+N2</x:f>
        <x:v>46226</x:v>
      </x:c>
      <x:c r="P2" s="12" t="str">
        <x:v>Open</x:v>
      </x:c>
      <x:c r="Q2" s="18" t="n">
        <x:f>MIN(100,ROUND(E2*6+IF(C2="High",15,IF(C2="Medium",8,0))+IF(G2="Yes",10,0)+IF(H2="Yes",15,0)+IF(J2&gt;90,10,IF(J2&gt;30,5,0)),0))</x:f>
        <x:v>100</x:v>
      </x:c>
      <x:c r="R2" s="12" t="str">
        <x:f>IF(Q2&gt;=80,"P1 - Critical",IF(Q2&gt;=60,"P2 - High",IF(Q2&gt;=35,"P3 - Medium","P4 - Low")))</x:f>
        <x:v>P1 - Critical</x:v>
      </x:c>
      <x:c r="S2" s="12" t="str">
        <x:v>Simulated lab finding; CVSS value is for training only.</x:v>
      </x:c>
    </x:row>
    <x:row r="3">
      <x:c r="A3" s="12" t="str">
        <x:v>SIM-002</x:v>
      </x:c>
      <x:c r="B3" s="12" t="str">
        <x:v>DC-01</x:v>
      </x:c>
      <x:c r="C3" s="12" t="str">
        <x:v>High</x:v>
      </x:c>
      <x:c r="D3" s="12" t="str">
        <x:v>Unsupported operating system on domain controller</x:v>
      </x:c>
      <x:c r="E3" s="14" t="n">
        <x:v>9.1</x:v>
      </x:c>
      <x:c r="F3" s="12" t="str">
        <x:v>Critical</x:v>
      </x:c>
      <x:c r="G3" s="12" t="str">
        <x:v>No</x:v>
      </x:c>
      <x:c r="H3" s="12" t="str">
        <x:v>No</x:v>
      </x:c>
      <x:c r="I3" s="12" t="str">
        <x:v>No</x:v>
      </x:c>
      <x:c r="J3" s="12" t="n">
        <x:v>420</x:v>
      </x:c>
      <x:c r="K3" s="12" t="str">
        <x:v>Unsupported infrastructure may contain unpatched flaws and could affect authentication for the entire organization.</x:v>
      </x:c>
      <x:c r="L3" s="12" t="str">
        <x:v>Plan an emergency upgrade or migration, restrict administrative access, and increase monitoring.</x:v>
      </x:c>
      <x:c r="M3" s="12" t="str">
        <x:v>Infrastructure</x:v>
      </x:c>
      <x:c r="N3" s="12" t="n">
        <x:f>IF(R3="P1 - Critical",7,IF(R3="P2 - High",14,IF(R3="P3 - Medium",30,60)))</x:f>
        <x:v>7</x:v>
      </x:c>
      <x:c r="O3" s="16" t="n">
        <x:f>Dashboard!$B$3+N3</x:f>
        <x:v>46226</x:v>
      </x:c>
      <x:c r="P3" s="12" t="str">
        <x:v>In Progress</x:v>
      </x:c>
      <x:c r="Q3" s="18" t="n">
        <x:f>MIN(100,ROUND(E3*6+IF(C3="High",15,IF(C3="Medium",8,0))+IF(G3="Yes",10,0)+IF(H3="Yes",15,0)+IF(J3&gt;90,10,IF(J3&gt;30,5,0)),0))</x:f>
        <x:v>80</x:v>
      </x:c>
      <x:c r="R3" s="12" t="str">
        <x:f>IF(Q3&gt;=80,"P1 - Critical",IF(Q3&gt;=60,"P2 - High",IF(Q3&gt;=35,"P3 - Medium","P4 - Low")))</x:f>
        <x:v>P1 - Critical</x:v>
      </x:c>
      <x:c r="S3" s="12" t="str">
        <x:v>Simulated lab finding.</x:v>
      </x:c>
    </x:row>
    <x:row r="4">
      <x:c r="A4" s="12" t="str">
        <x:v>SIM-003</x:v>
      </x:c>
      <x:c r="B4" s="12" t="str">
        <x:v>VPN-GW-01</x:v>
      </x:c>
      <x:c r="C4" s="12" t="str">
        <x:v>High</x:v>
      </x:c>
      <x:c r="D4" s="12" t="str">
        <x:v>Authentication bypass affecting remote-access gateway</x:v>
      </x:c>
      <x:c r="E4" s="14" t="n">
        <x:v>8.8</x:v>
      </x:c>
      <x:c r="F4" s="12" t="str">
        <x:v>High</x:v>
      </x:c>
      <x:c r="G4" s="12" t="str">
        <x:v>Yes</x:v>
      </x:c>
      <x:c r="H4" s="12" t="str">
        <x:v>Yes</x:v>
      </x:c>
      <x:c r="I4" s="12" t="str">
        <x:v>Yes</x:v>
      </x:c>
      <x:c r="J4" s="12" t="n">
        <x:v>20</x:v>
      </x:c>
      <x:c r="K4" s="12" t="str">
        <x:v>Could permit unauthorized remote access into the internal network.</x:v>
      </x:c>
      <x:c r="L4" s="12" t="str">
        <x:v>Patch immediately, review VPN authentication logs, rotate exposed credentials, and validate MFA.</x:v>
      </x:c>
      <x:c r="M4" s="12" t="str">
        <x:v>Network Security</x:v>
      </x:c>
      <x:c r="N4" s="12" t="n">
        <x:f>IF(R4="P1 - Critical",7,IF(R4="P2 - High",14,IF(R4="P3 - Medium",30,60)))</x:f>
        <x:v>7</x:v>
      </x:c>
      <x:c r="O4" s="16" t="n">
        <x:f>Dashboard!$B$3+N4</x:f>
        <x:v>46226</x:v>
      </x:c>
      <x:c r="P4" s="12" t="str">
        <x:v>Open</x:v>
      </x:c>
      <x:c r="Q4" s="18" t="n">
        <x:f>MIN(100,ROUND(E4*6+IF(C4="High",15,IF(C4="Medium",8,0))+IF(G4="Yes",10,0)+IF(H4="Yes",15,0)+IF(J4&gt;90,10,IF(J4&gt;30,5,0)),0))</x:f>
        <x:v>93</x:v>
      </x:c>
      <x:c r="R4" s="12" t="str">
        <x:f>IF(Q4&gt;=80,"P1 - Critical",IF(Q4&gt;=60,"P2 - High",IF(Q4&gt;=35,"P3 - Medium","P4 - Low")))</x:f>
        <x:v>P1 - Critical</x:v>
      </x:c>
      <x:c r="S4" s="12" t="str">
        <x:v>Simulated lab finding.</x:v>
      </x:c>
    </x:row>
    <x:row r="5">
      <x:c r="A5" s="12" t="str">
        <x:v>SIM-004</x:v>
      </x:c>
      <x:c r="B5" s="12" t="str">
        <x:v>FIN-DB-01</x:v>
      </x:c>
      <x:c r="C5" s="12" t="str">
        <x:v>High</x:v>
      </x:c>
      <x:c r="D5" s="12" t="str">
        <x:v>Database server missing cumulative security update</x:v>
      </x:c>
      <x:c r="E5" s="14" t="n">
        <x:v>8.1</x:v>
      </x:c>
      <x:c r="F5" s="12" t="str">
        <x:v>High</x:v>
      </x:c>
      <x:c r="G5" s="12" t="str">
        <x:v>No</x:v>
      </x:c>
      <x:c r="H5" s="12" t="str">
        <x:v>No</x:v>
      </x:c>
      <x:c r="I5" s="12" t="str">
        <x:v>Yes</x:v>
      </x:c>
      <x:c r="J5" s="12" t="n">
        <x:v>75</x:v>
      </x:c>
      <x:c r="K5" s="12" t="str">
        <x:v>Compromise could expose financial records and disrupt critical business operations.</x:v>
      </x:c>
      <x:c r="L5" s="12" t="str">
        <x:v>Test and deploy the cumulative update during the next approved emergency maintenance window.</x:v>
      </x:c>
      <x:c r="M5" s="12" t="str">
        <x:v>Database Team</x:v>
      </x:c>
      <x:c r="N5" s="12" t="n">
        <x:f>IF(R5="P1 - Critical",7,IF(R5="P2 - High",14,IF(R5="P3 - Medium",30,60)))</x:f>
        <x:v>14</x:v>
      </x:c>
      <x:c r="O5" s="16" t="n">
        <x:f>Dashboard!$B$3+N5</x:f>
        <x:v>46233</x:v>
      </x:c>
      <x:c r="P5" s="12" t="str">
        <x:v>Open</x:v>
      </x:c>
      <x:c r="Q5" s="18" t="n">
        <x:f>MIN(100,ROUND(E5*6+IF(C5="High",15,IF(C5="Medium",8,0))+IF(G5="Yes",10,0)+IF(H5="Yes",15,0)+IF(J5&gt;90,10,IF(J5&gt;30,5,0)),0))</x:f>
        <x:v>69</x:v>
      </x:c>
      <x:c r="R5" s="12" t="str">
        <x:f>IF(Q5&gt;=80,"P1 - Critical",IF(Q5&gt;=60,"P2 - High",IF(Q5&gt;=35,"P3 - Medium","P4 - Low")))</x:f>
        <x:v>P2 - High</x:v>
      </x:c>
      <x:c r="S5" s="12" t="str">
        <x:v>Simulated lab finding.</x:v>
      </x:c>
    </x:row>
    <x:row r="6">
      <x:c r="A6" s="12" t="str">
        <x:v>SIM-005</x:v>
      </x:c>
      <x:c r="B6" s="12" t="str">
        <x:v>HR-LAPTOP-17</x:v>
      </x:c>
      <x:c r="C6" s="12" t="str">
        <x:v>Medium</x:v>
      </x:c>
      <x:c r="D6" s="12" t="str">
        <x:v>Endpoint protection signatures significantly outdated</x:v>
      </x:c>
      <x:c r="E6" s="14" t="n">
        <x:v>7.5</x:v>
      </x:c>
      <x:c r="F6" s="12" t="str">
        <x:v>High</x:v>
      </x:c>
      <x:c r="G6" s="12" t="str">
        <x:v>No</x:v>
      </x:c>
      <x:c r="H6" s="12" t="str">
        <x:v>No</x:v>
      </x:c>
      <x:c r="I6" s="12" t="str">
        <x:v>Yes</x:v>
      </x:c>
      <x:c r="J6" s="12" t="n">
        <x:v>32</x:v>
      </x:c>
      <x:c r="K6" s="12" t="str">
        <x:v>Malware may avoid detection on an endpoint that stores employee information.</x:v>
      </x:c>
      <x:c r="L6" s="12" t="str">
        <x:v>Reconnect the endpoint to management, update signatures, run a full scan, and verify policy compliance.</x:v>
      </x:c>
      <x:c r="M6" s="12" t="str">
        <x:v>Endpoint Team</x:v>
      </x:c>
      <x:c r="N6" s="12" t="n">
        <x:f>IF(R6="P1 - Critical",7,IF(R6="P2 - High",14,IF(R6="P3 - Medium",30,60)))</x:f>
        <x:v>30</x:v>
      </x:c>
      <x:c r="O6" s="16" t="n">
        <x:f>Dashboard!$B$3+N6</x:f>
        <x:v>46249</x:v>
      </x:c>
      <x:c r="P6" s="12" t="str">
        <x:v>Open</x:v>
      </x:c>
      <x:c r="Q6" s="18" t="n">
        <x:f>MIN(100,ROUND(E6*6+IF(C6="High",15,IF(C6="Medium",8,0))+IF(G6="Yes",10,0)+IF(H6="Yes",15,0)+IF(J6&gt;90,10,IF(J6&gt;30,5,0)),0))</x:f>
        <x:v>58</x:v>
      </x:c>
      <x:c r="R6" s="12" t="str">
        <x:f>IF(Q6&gt;=80,"P1 - Critical",IF(Q6&gt;=60,"P2 - High",IF(Q6&gt;=35,"P3 - Medium","P4 - Low")))</x:f>
        <x:v>P3 - Medium</x:v>
      </x:c>
      <x:c r="S6" s="12" t="str">
        <x:v>Simulated lab finding.</x:v>
      </x:c>
    </x:row>
    <x:row r="7">
      <x:c r="A7" s="12" t="str">
        <x:v>SIM-006</x:v>
      </x:c>
      <x:c r="B7" s="12" t="str">
        <x:v>MAIL-01</x:v>
      </x:c>
      <x:c r="C7" s="12" t="str">
        <x:v>High</x:v>
      </x:c>
      <x:c r="D7" s="12" t="str">
        <x:v>Legacy TLS protocols enabled on mail service</x:v>
      </x:c>
      <x:c r="E7" s="14" t="n">
        <x:v>6.8</x:v>
      </x:c>
      <x:c r="F7" s="12" t="str">
        <x:v>Medium</x:v>
      </x:c>
      <x:c r="G7" s="12" t="str">
        <x:v>Yes</x:v>
      </x:c>
      <x:c r="H7" s="12" t="str">
        <x:v>No</x:v>
      </x:c>
      <x:c r="I7" s="12" t="str">
        <x:v>Yes</x:v>
      </x:c>
      <x:c r="J7" s="12" t="n">
        <x:v>180</x:v>
      </x:c>
      <x:c r="K7" s="12" t="str">
        <x:v>Weak encryption may expose authentication or message traffic to downgrade attacks.</x:v>
      </x:c>
      <x:c r="L7" s="12" t="str">
        <x:v>Disable TLS 1.0 and 1.1 after compatibility testing; enforce modern cipher suites.</x:v>
      </x:c>
      <x:c r="M7" s="12" t="str">
        <x:v>Messaging Team</x:v>
      </x:c>
      <x:c r="N7" s="12" t="n">
        <x:f>IF(R7="P1 - Critical",7,IF(R7="P2 - High",14,IF(R7="P3 - Medium",30,60)))</x:f>
        <x:v>14</x:v>
      </x:c>
      <x:c r="O7" s="16" t="n">
        <x:f>Dashboard!$B$3+N7</x:f>
        <x:v>46233</x:v>
      </x:c>
      <x:c r="P7" s="12" t="str">
        <x:v>Accepted Risk</x:v>
      </x:c>
      <x:c r="Q7" s="18" t="n">
        <x:f>MIN(100,ROUND(E7*6+IF(C7="High",15,IF(C7="Medium",8,0))+IF(G7="Yes",10,0)+IF(H7="Yes",15,0)+IF(J7&gt;90,10,IF(J7&gt;30,5,0)),0))</x:f>
        <x:v>76</x:v>
      </x:c>
      <x:c r="R7" s="12" t="str">
        <x:f>IF(Q7&gt;=80,"P1 - Critical",IF(Q7&gt;=60,"P2 - High",IF(Q7&gt;=35,"P3 - Medium","P4 - Low")))</x:f>
        <x:v>P2 - High</x:v>
      </x:c>
      <x:c r="S7" s="12" t="str">
        <x:v>Simulated lab finding.</x:v>
      </x:c>
    </x:row>
    <x:row r="8">
      <x:c r="A8" s="12" t="str">
        <x:v>SIM-007</x:v>
      </x:c>
      <x:c r="B8" s="12" t="str">
        <x:v>APP-TEST-03</x:v>
      </x:c>
      <x:c r="C8" s="12" t="str">
        <x:v>Low</x:v>
      </x:c>
      <x:c r="D8" s="12" t="str">
        <x:v>Default administrative credentials retained in test application</x:v>
      </x:c>
      <x:c r="E8" s="14" t="n">
        <x:v>8</x:v>
      </x:c>
      <x:c r="F8" s="12" t="str">
        <x:v>High</x:v>
      </x:c>
      <x:c r="G8" s="12" t="str">
        <x:v>No</x:v>
      </x:c>
      <x:c r="H8" s="12" t="str">
        <x:v>No</x:v>
      </x:c>
      <x:c r="I8" s="12" t="str">
        <x:v>No</x:v>
      </x:c>
      <x:c r="J8" s="12" t="n">
        <x:v>12</x:v>
      </x:c>
      <x:c r="K8" s="12" t="str">
        <x:v>An internal user could gain administrative access to the test environment.</x:v>
      </x:c>
      <x:c r="L8" s="12" t="str">
        <x:v>Replace default credentials, store secrets securely, and review access logs.</x:v>
      </x:c>
      <x:c r="M8" s="12" t="str">
        <x:v>Application Team</x:v>
      </x:c>
      <x:c r="N8" s="12" t="n">
        <x:f>IF(R8="P1 - Critical",7,IF(R8="P2 - High",14,IF(R8="P3 - Medium",30,60)))</x:f>
        <x:v>30</x:v>
      </x:c>
      <x:c r="O8" s="16" t="n">
        <x:f>Dashboard!$B$3+N8</x:f>
        <x:v>46249</x:v>
      </x:c>
      <x:c r="P8" s="12" t="str">
        <x:v>Open</x:v>
      </x:c>
      <x:c r="Q8" s="18" t="n">
        <x:f>MIN(100,ROUND(E8*6+IF(C8="High",15,IF(C8="Medium",8,0))+IF(G8="Yes",10,0)+IF(H8="Yes",15,0)+IF(J8&gt;90,10,IF(J8&gt;30,5,0)),0))</x:f>
        <x:v>48</x:v>
      </x:c>
      <x:c r="R8" s="12" t="str">
        <x:f>IF(Q8&gt;=80,"P1 - Critical",IF(Q8&gt;=60,"P2 - High",IF(Q8&gt;=35,"P3 - Medium","P4 - Low")))</x:f>
        <x:v>P3 - Medium</x:v>
      </x:c>
      <x:c r="S8" s="12" t="str">
        <x:v>Simulated lab finding.</x:v>
      </x:c>
    </x:row>
    <x:row r="9">
      <x:c r="A9" s="12" t="str">
        <x:v>SIM-008</x:v>
      </x:c>
      <x:c r="B9" s="12" t="str">
        <x:v>FILE-02</x:v>
      </x:c>
      <x:c r="C9" s="12" t="str">
        <x:v>Medium</x:v>
      </x:c>
      <x:c r="D9" s="12" t="str">
        <x:v>Excessive SMB share permissions</x:v>
      </x:c>
      <x:c r="E9" s="14" t="n">
        <x:v>6.5</x:v>
      </x:c>
      <x:c r="F9" s="12" t="str">
        <x:v>Medium</x:v>
      </x:c>
      <x:c r="G9" s="12" t="str">
        <x:v>No</x:v>
      </x:c>
      <x:c r="H9" s="12" t="str">
        <x:v>No</x:v>
      </x:c>
      <x:c r="I9" s="12" t="str">
        <x:v>No</x:v>
      </x:c>
      <x:c r="J9" s="12" t="n">
        <x:v>210</x:v>
      </x:c>
      <x:c r="K9" s="12" t="str">
        <x:v>Unauthorized employees may access or modify sensitive department files.</x:v>
      </x:c>
      <x:c r="L9" s="12" t="str">
        <x:v>Review group membership, apply least privilege, remove broad access, and verify inheritance.</x:v>
      </x:c>
      <x:c r="M9" s="12" t="str">
        <x:v>Infrastructure</x:v>
      </x:c>
      <x:c r="N9" s="12" t="n">
        <x:f>IF(R9="P1 - Critical",7,IF(R9="P2 - High",14,IF(R9="P3 - Medium",30,60)))</x:f>
        <x:v>30</x:v>
      </x:c>
      <x:c r="O9" s="16" t="n">
        <x:f>Dashboard!$B$3+N9</x:f>
        <x:v>46249</x:v>
      </x:c>
      <x:c r="P9" s="12" t="str">
        <x:v>In Progress</x:v>
      </x:c>
      <x:c r="Q9" s="18" t="n">
        <x:f>MIN(100,ROUND(E9*6+IF(C9="High",15,IF(C9="Medium",8,0))+IF(G9="Yes",10,0)+IF(H9="Yes",15,0)+IF(J9&gt;90,10,IF(J9&gt;30,5,0)),0))</x:f>
        <x:v>57</x:v>
      </x:c>
      <x:c r="R9" s="12" t="str">
        <x:f>IF(Q9&gt;=80,"P1 - Critical",IF(Q9&gt;=60,"P2 - High",IF(Q9&gt;=35,"P3 - Medium","P4 - Low")))</x:f>
        <x:v>P3 - Medium</x:v>
      </x:c>
      <x:c r="S9" s="12" t="str">
        <x:v>Simulated lab finding.</x:v>
      </x:c>
    </x:row>
    <x:row r="10">
      <x:c r="A10" s="12" t="str">
        <x:v>SIM-009</x:v>
      </x:c>
      <x:c r="B10" s="12" t="str">
        <x:v>DEV-WEB-02</x:v>
      </x:c>
      <x:c r="C10" s="12" t="str">
        <x:v>Low</x:v>
      </x:c>
      <x:c r="D10" s="12" t="str">
        <x:v>Verbose error messages disclose application details</x:v>
      </x:c>
      <x:c r="E10" s="14" t="n">
        <x:v>4.3</x:v>
      </x:c>
      <x:c r="F10" s="12" t="str">
        <x:v>Medium</x:v>
      </x:c>
      <x:c r="G10" s="12" t="str">
        <x:v>Yes</x:v>
      </x:c>
      <x:c r="H10" s="12" t="str">
        <x:v>No</x:v>
      </x:c>
      <x:c r="I10" s="12" t="str">
        <x:v>Yes</x:v>
      </x:c>
      <x:c r="J10" s="12" t="n">
        <x:v>60</x:v>
      </x:c>
      <x:c r="K10" s="12" t="str">
        <x:v>Attackers could use disclosed paths and framework versions to plan further attacks.</x:v>
      </x:c>
      <x:c r="L10" s="12" t="str">
        <x:v>Disable verbose errors in production-facing configurations and implement generic error handling.</x:v>
      </x:c>
      <x:c r="M10" s="12" t="str">
        <x:v>Development</x:v>
      </x:c>
      <x:c r="N10" s="12" t="n">
        <x:f>IF(R10="P1 - Critical",7,IF(R10="P2 - High",14,IF(R10="P3 - Medium",30,60)))</x:f>
        <x:v>30</x:v>
      </x:c>
      <x:c r="O10" s="16" t="n">
        <x:f>Dashboard!$B$3+N10</x:f>
        <x:v>46249</x:v>
      </x:c>
      <x:c r="P10" s="12" t="str">
        <x:v>Open</x:v>
      </x:c>
      <x:c r="Q10" s="18" t="n">
        <x:f>MIN(100,ROUND(E10*6+IF(C10="High",15,IF(C10="Medium",8,0))+IF(G10="Yes",10,0)+IF(H10="Yes",15,0)+IF(J10&gt;90,10,IF(J10&gt;30,5,0)),0))</x:f>
        <x:v>41</x:v>
      </x:c>
      <x:c r="R10" s="12" t="str">
        <x:f>IF(Q10&gt;=80,"P1 - Critical",IF(Q10&gt;=60,"P2 - High",IF(Q10&gt;=35,"P3 - Medium","P4 - Low")))</x:f>
        <x:v>P3 - Medium</x:v>
      </x:c>
      <x:c r="S10" s="12" t="str">
        <x:v>Simulated lab finding.</x:v>
      </x:c>
    </x:row>
    <x:row r="11">
      <x:c r="A11" s="12" t="str">
        <x:v>SIM-010</x:v>
      </x:c>
      <x:c r="B11" s="12" t="str">
        <x:v>PRINTER-44</x:v>
      </x:c>
      <x:c r="C11" s="12" t="str">
        <x:v>Low</x:v>
      </x:c>
      <x:c r="D11" s="12" t="str">
        <x:v>Administrative web interface uses default community string</x:v>
      </x:c>
      <x:c r="E11" s="14" t="n">
        <x:v>3.7</x:v>
      </x:c>
      <x:c r="F11" s="12" t="str">
        <x:v>Low</x:v>
      </x:c>
      <x:c r="G11" s="12" t="str">
        <x:v>No</x:v>
      </x:c>
      <x:c r="H11" s="12" t="str">
        <x:v>No</x:v>
      </x:c>
      <x:c r="I11" s="12" t="str">
        <x:v>Yes</x:v>
      </x:c>
      <x:c r="J11" s="12" t="n">
        <x:v>365</x:v>
      </x:c>
      <x:c r="K11" s="12" t="str">
        <x:v>An internal attacker may change device settings or gather network information.</x:v>
      </x:c>
      <x:c r="L11" s="12" t="str">
        <x:v>Change default credentials and community strings, restrict management access, and update firmware.</x:v>
      </x:c>
      <x:c r="M11" s="12" t="str">
        <x:v>IT Support</x:v>
      </x:c>
      <x:c r="N11" s="12" t="n">
        <x:f>IF(R11="P1 - Critical",7,IF(R11="P2 - High",14,IF(R11="P3 - Medium",30,60)))</x:f>
        <x:v>60</x:v>
      </x:c>
      <x:c r="O11" s="16" t="n">
        <x:f>Dashboard!$B$3+N11</x:f>
        <x:v>46279</x:v>
      </x:c>
      <x:c r="P11" s="12" t="str">
        <x:v>Open</x:v>
      </x:c>
      <x:c r="Q11" s="18" t="n">
        <x:f>MIN(100,ROUND(E11*6+IF(C11="High",15,IF(C11="Medium",8,0))+IF(G11="Yes",10,0)+IF(H11="Yes",15,0)+IF(J11&gt;90,10,IF(J11&gt;30,5,0)),0))</x:f>
        <x:v>32</x:v>
      </x:c>
      <x:c r="R11" s="12" t="str">
        <x:f>IF(Q11&gt;=80,"P1 - Critical",IF(Q11&gt;=60,"P2 - High",IF(Q11&gt;=35,"P3 - Medium","P4 - Low")))</x:f>
        <x:v>P4 - Low</x:v>
      </x:c>
      <x:c r="S11" s="12" t="str">
        <x:v>Simulated lab finding.</x:v>
      </x:c>
    </x:row>
  </x:sheetData>
  <x:conditionalFormatting sqref="Q2:Q11">
    <x:cfRule type="colorScale" priority="1">
      <x:colorScale>
        <x:cfvo type="min"/>
        <x:cfvo type="percentile" val="50"/>
        <x:cfvo type="max"/>
        <x:color rgb="FFDCFCE7"/>
        <x:color rgb="FFFEF3C7"/>
        <x:color rgb="FFFECACA"/>
      </x:colorScale>
    </x:cfRule>
  </x:conditionalFormatting>
  <x:conditionalFormatting sqref="R2:R11">
    <x:cfRule type="expression" dxfId="0" priority="2">
      <x:formula>R2="P1 - Critical"</x:formula>
    </x:cfRule>
    <x:cfRule type="expression" dxfId="1" priority="3">
      <x:formula>R2="P2 - High"</x:formula>
    </x:cfRule>
    <x:cfRule type="expression" dxfId="2" priority="4">
      <x:formula>R2="P3 - Medium"</x:formula>
    </x:cfRule>
    <x:cfRule type="expression" dxfId="3" priority="5">
      <x:formula>R2="P4 - Low"</x:formula>
    </x:cfRule>
  </x:conditionalFormatting>
  <x:dataValidations count="1">
    <x:dataValidation type="list" sqref="P2:P100">
      <x:formula1>"Open,In Progress,Remediated,Accepted Risk"</x:formula1>
    </x:dataValidation>
  </x:dataValidations>
  <x:pageMargins left="0.7" right="0.7" top="0.75" bottom="0.75" header="0.3" footer="0.3"/>
  <x:tableParts count="1">
    <x:tablePart xmlns:r="http://schemas.openxmlformats.org/officeDocument/2006/relationships" r:id="R84397a27038041cc"/>
  </x:tableParts>
</x:worksheet>
</file>

<file path=xl/worksheets/sheet3.xml><?xml version="1.0" encoding="utf-8"?>
<x:worksheet xmlns:x="http://schemas.openxmlformats.org/spreadsheetml/2006/main">
  <x:sheetFormatPr defaultRowHeight="15"/>
  <x:cols>
    <x:col min="1" max="1" width="18" hidden="0" customWidth="1"/>
    <x:col min="2" max="2" width="28" hidden="0" customWidth="1"/>
    <x:col min="3" max="3" width="30" hidden="0" customWidth="1"/>
    <x:col min="4" max="4" width="40" hidden="0" customWidth="1"/>
    <x:col min="5" max="5" width="32" hidden="0" customWidth="1"/>
    <x:col min="6" max="6" width="34" hidden="0" customWidth="1"/>
  </x:cols>
  <x:sheetData>
    <x:row r="1">
      <x:c r="A1" s="41" t="str">
        <x:v>Interview Preparation — Vulnerability Management</x:v>
      </x:c>
      <x:c r="B1" s="41"/>
      <x:c r="C1" s="41"/>
      <x:c r="D1" s="41"/>
      <x:c r="E1" s="41"/>
      <x:c r="F1" s="41"/>
    </x:row>
    <x:row r="3">
      <x:c r="A3" s="6" t="str">
        <x:v>Concept</x:v>
      </x:c>
      <x:c r="B3" s="6" t="str">
        <x:v>Plain-English Meaning</x:v>
      </x:c>
      <x:c r="C3" s="6" t="str">
        <x:v>Why It Matters</x:v>
      </x:c>
      <x:c r="D3" s="6" t="str">
        <x:v>Interview Example</x:v>
      </x:c>
      <x:c r="E3" s="6" t="str">
        <x:v>Common Mistake</x:v>
      </x:c>
      <x:c r="F3" s="6" t="str">
        <x:v>What You Did in This Lab</x:v>
      </x:c>
    </x:row>
    <x:row r="4">
      <x:c r="A4" s="12" t="str">
        <x:v>Vulnerability</x:v>
      </x:c>
      <x:c r="B4" s="12" t="str">
        <x:v>A weakness that could be exploited.</x:v>
      </x:c>
      <x:c r="C4" s="12" t="str">
        <x:v>It creates potential technical or business impact.</x:v>
      </x:c>
      <x:c r="D4" s="12" t="str">
        <x:v>A vulnerability is a weakness; risk depends on likelihood, exposure, and business impact.</x:v>
      </x:c>
      <x:c r="E4" s="12" t="str">
        <x:v>Calling every vulnerability an active attack.</x:v>
      </x:c>
      <x:c r="F4" s="12" t="str">
        <x:v>Reviewed simulated weaknesses across different assets.</x:v>
      </x:c>
    </x:row>
    <x:row r="5">
      <x:c r="A5" s="12" t="str">
        <x:v>CVSS</x:v>
      </x:c>
      <x:c r="B5" s="12" t="str">
        <x:v>A standard way to communicate vulnerability severity.</x:v>
      </x:c>
      <x:c r="C5" s="12" t="str">
        <x:v>It helps compare technical severity consistently.</x:v>
      </x:c>
      <x:c r="D5" s="12" t="str">
        <x:v>I used CVSS as one input, but I did not treat it as the full risk decision.</x:v>
      </x:c>
      <x:c r="E5" s="12" t="str">
        <x:v>Prioritizing only by CVSS score.</x:v>
      </x:c>
      <x:c r="F5" s="12" t="str">
        <x:v>Combined CVSS with asset and threat context.</x:v>
      </x:c>
    </x:row>
    <x:row r="6">
      <x:c r="A6" s="12" t="str">
        <x:v>Asset Criticality</x:v>
      </x:c>
      <x:c r="B6" s="12" t="str">
        <x:v>How important the affected system is to the business.</x:v>
      </x:c>
      <x:c r="C6" s="12" t="str">
        <x:v>The same flaw can have different impact on different systems.</x:v>
      </x:c>
      <x:c r="D6" s="12" t="str">
        <x:v>A flaw on a domain controller or public server usually deserves more urgency than the same flaw on a low-value test device.</x:v>
      </x:c>
      <x:c r="E6" s="12" t="str">
        <x:v>Ignoring the purpose of the affected asset.</x:v>
      </x:c>
      <x:c r="F6" s="12" t="str">
        <x:v>Rated assets High, Medium, or Low.</x:v>
      </x:c>
    </x:row>
    <x:row r="7">
      <x:c r="A7" s="12" t="str">
        <x:v>Exposure</x:v>
      </x:c>
      <x:c r="B7" s="12" t="str">
        <x:v>Whether an attacker can reach the vulnerable service.</x:v>
      </x:c>
      <x:c r="C7" s="12" t="str">
        <x:v>Internet-facing systems are often easier to target.</x:v>
      </x:c>
      <x:c r="D7" s="12" t="str">
        <x:v>I increased priority when the vulnerable asset was internet exposed.</x:v>
      </x:c>
      <x:c r="E7" s="12" t="str">
        <x:v>Assuming internal systems are always safe.</x:v>
      </x:c>
      <x:c r="F7" s="12" t="str">
        <x:v>Included an Internet Exposed field.</x:v>
      </x:c>
    </x:row>
    <x:row r="8">
      <x:c r="A8" s="12" t="str">
        <x:v>Exploit Evidence</x:v>
      </x:c>
      <x:c r="B8" s="12" t="str">
        <x:v>Evidence that attackers are actively using the weakness.</x:v>
      </x:c>
      <x:c r="C8" s="12" t="str">
        <x:v>Active exploitation can greatly increase urgency.</x:v>
      </x:c>
      <x:c r="D8" s="12" t="str">
        <x:v>I treated exploitation evidence as a major prioritization factor.</x:v>
      </x:c>
      <x:c r="E8" s="12" t="str">
        <x:v>Confusing proof-of-concept availability with confirmed exploitation.</x:v>
      </x:c>
      <x:c r="F8" s="12" t="str">
        <x:v>Added simulated exploit-evidence context.</x:v>
      </x:c>
    </x:row>
    <x:row r="9">
      <x:c r="A9" s="12" t="str">
        <x:v>Remediation SLA</x:v>
      </x:c>
      <x:c r="B9" s="12" t="str">
        <x:v>The target time allowed to fix a finding.</x:v>
      </x:c>
      <x:c r="C9" s="12" t="str">
        <x:v>It turns risk decisions into accountable deadlines.</x:v>
      </x:c>
      <x:c r="D9" s="12" t="str">
        <x:v>I assigned shorter SLAs to P1 and P2 findings.</x:v>
      </x:c>
      <x:c r="E9" s="12" t="str">
        <x:v>Using the same deadline for every severity.</x:v>
      </x:c>
      <x:c r="F9" s="12" t="str">
        <x:v>Calculated 7-, 14-, 30-, or 60-day SLAs.</x:v>
      </x:c>
    </x:row>
    <x:row r="10">
      <x:c r="A10" s="12" t="str">
        <x:v>Risk Acceptance</x:v>
      </x:c>
      <x:c r="B10" s="12" t="str">
        <x:v>A documented decision not to fix immediately.</x:v>
      </x:c>
      <x:c r="C10" s="12" t="str">
        <x:v>Some fixes may create greater operational impact or have compensating controls.</x:v>
      </x:c>
      <x:c r="D10" s="12" t="str">
        <x:v>Accepted risk should be approved, time-bound, and reviewed—not simply ignored.</x:v>
      </x:c>
      <x:c r="E10" s="12" t="str">
        <x:v>Treating accepted risk as permanent closure.</x:v>
      </x:c>
      <x:c r="F10" s="12" t="str">
        <x:v>Included an Accepted Risk status.</x:v>
      </x:c>
    </x:row>
    <x:row r="11">
      <x:c r="A11" s="12" t="str">
        <x:v>Validation</x:v>
      </x:c>
      <x:c r="B11" s="12" t="str">
        <x:v>Confirming the fix actually removed the exposure.</x:v>
      </x:c>
      <x:c r="C11" s="12" t="str">
        <x:v>A patch deployment is not complete until verified.</x:v>
      </x:c>
      <x:c r="D11" s="12" t="str">
        <x:v>After remediation, I would rescan and confirm the vulnerability is no longer present.</x:v>
      </x:c>
      <x:c r="E11" s="12" t="str">
        <x:v>Closing a ticket immediately after a patch is scheduled.</x:v>
      </x:c>
      <x:c r="F11" s="12" t="str">
        <x:v>Planned verification in recommended actions.</x:v>
      </x:c>
    </x:row>
  </x:sheetData>
  <x:mergeCells>
    <x:mergeCell ref="A1:F1"/>
  </x:mergeCells>
  <x:pageMargins left="0.7" right="0.7" top="0.75" bottom="0.75" header="0.3" footer="0.3"/>
</x:worksheet>
</file>